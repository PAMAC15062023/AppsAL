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420" windowHeight="96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Sheet1!$A$3:$V$27</definedName>
  </definedNames>
  <calcPr calcId="144525"/>
</workbook>
</file>

<file path=xl/sharedStrings.xml><?xml version="1.0" encoding="utf-8"?>
<sst xmlns="http://schemas.openxmlformats.org/spreadsheetml/2006/main" count="188" uniqueCount="78">
  <si>
    <t>Monthly MIS Upload format</t>
  </si>
  <si>
    <t>Open Upload</t>
  </si>
  <si>
    <t xml:space="preserve">Sr No </t>
  </si>
  <si>
    <t xml:space="preserve">Case processing Date </t>
  </si>
  <si>
    <t xml:space="preserve">Case Received Date </t>
  </si>
  <si>
    <t xml:space="preserve">Unique Case ID </t>
  </si>
  <si>
    <t xml:space="preserve">Customer Name </t>
  </si>
  <si>
    <t>Case Type  (FTR/Rework/FTNR Resolved/FTNR)</t>
  </si>
  <si>
    <t>Loan Amount</t>
  </si>
  <si>
    <t>Case completed date</t>
  </si>
  <si>
    <t xml:space="preserve">Case status </t>
  </si>
  <si>
    <t>Remark</t>
  </si>
  <si>
    <t xml:space="preserve">Maker Name </t>
  </si>
  <si>
    <t xml:space="preserve">Maker ID </t>
  </si>
  <si>
    <t xml:space="preserve">Cheker Name </t>
  </si>
  <si>
    <t xml:space="preserve">Checker ID </t>
  </si>
  <si>
    <t>RAJ BHAVESHKUMAR PRAJAPATI</t>
  </si>
  <si>
    <t>Fresh</t>
  </si>
  <si>
    <t>Done</t>
  </si>
  <si>
    <t>Salim Shaikh</t>
  </si>
  <si>
    <t>Pamacdem 3</t>
  </si>
  <si>
    <t>Mahesh Patil</t>
  </si>
  <si>
    <t>Pamacdem 4</t>
  </si>
  <si>
    <t>HARISH PILLAI</t>
  </si>
  <si>
    <t>NEHA OSMANI</t>
  </si>
  <si>
    <t>AJAY MORAMPUDI</t>
  </si>
  <si>
    <t>SUMIT NANDU YADAV</t>
  </si>
  <si>
    <t>Isha Kadam</t>
  </si>
  <si>
    <t>Pamacdec 4</t>
  </si>
  <si>
    <t>Akshay Parab</t>
  </si>
  <si>
    <t>Pamacdem 2</t>
  </si>
  <si>
    <t>MUKUL GARG</t>
  </si>
  <si>
    <t>Co App-1 Mother Name Not Mention In App Form (Father &amp; Mother Name Is Same In App Form)</t>
  </si>
  <si>
    <t>DEEPINDER SINGH DHALIWAL</t>
  </si>
  <si>
    <t>HARISMITA Smita GOVINDARAJU</t>
  </si>
  <si>
    <t>Co App 2 Two Pin Code Given In Address</t>
  </si>
  <si>
    <t>Rajesh Lad</t>
  </si>
  <si>
    <t>Pamacdec 12</t>
  </si>
  <si>
    <t>DEEKSHITHA REDDY KALLURU</t>
  </si>
  <si>
    <t>Co App 1 All Document Given In Co App 2 Folder And Co App 2 All Document Given In Co App 1 Folder.</t>
  </si>
  <si>
    <t>Prajakta Jadhav</t>
  </si>
  <si>
    <t>Pamacdec 10</t>
  </si>
  <si>
    <t>Ratnadeep Bhokare</t>
  </si>
  <si>
    <t>Pamacdec 7</t>
  </si>
  <si>
    <t>VIJETHA SHREE SHIVAKUMAR</t>
  </si>
  <si>
    <t>Dipesh Kelshikar</t>
  </si>
  <si>
    <t>Pamacdec 5</t>
  </si>
  <si>
    <t>SANJEEV KUMAR SANABOINA</t>
  </si>
  <si>
    <t>Kiran Chalke</t>
  </si>
  <si>
    <t>Pamacdec 17</t>
  </si>
  <si>
    <t>PRIYANSHI ATULKUMAR PATEL</t>
  </si>
  <si>
    <t>Student Salutation Wrong Mention On Application Form</t>
  </si>
  <si>
    <t>ANANDHU SATHEESH</t>
  </si>
  <si>
    <t>THANMAYEE MUDDASAANI</t>
  </si>
  <si>
    <t>Samyak Mohite</t>
  </si>
  <si>
    <t>Pamacdec 9</t>
  </si>
  <si>
    <t>PREETHI YADAV</t>
  </si>
  <si>
    <t>Jaya Vetkoli</t>
  </si>
  <si>
    <t>Pamacdem 6</t>
  </si>
  <si>
    <t>Niranjan Dalavi</t>
  </si>
  <si>
    <t>Pamacdem 1</t>
  </si>
  <si>
    <t>TUSHAR SAHU</t>
  </si>
  <si>
    <t>Karan Kalantre</t>
  </si>
  <si>
    <t>Pamacdec 8</t>
  </si>
  <si>
    <t>KESHAV DEEPAK RAKIBE</t>
  </si>
  <si>
    <t>Jivita Pawase</t>
  </si>
  <si>
    <t>Pamacdem 12</t>
  </si>
  <si>
    <t>Srushti Kadam</t>
  </si>
  <si>
    <t>Pamacdec 13</t>
  </si>
  <si>
    <t>HARSHITH REDDY VURUMALLA</t>
  </si>
  <si>
    <t>OMKAR RAJ</t>
  </si>
  <si>
    <t>Tushar Sandav</t>
  </si>
  <si>
    <t>Pamacdec 15</t>
  </si>
  <si>
    <t>MEETKUMAR SANJAYBHAI VALANGAR</t>
  </si>
  <si>
    <t>SHUBHAM SANDEEP NIRGUDE</t>
  </si>
  <si>
    <t>DEEPTHI PRIYANKA TRIVENI</t>
  </si>
  <si>
    <t>DAVINDER SINGH</t>
  </si>
  <si>
    <t>ARFATH AHMED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</si>
</sst>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/mmm/yy;@"/>
    <numFmt numFmtId="165" formatCode="dd/mmm/yy\ hh:mm"/>
    <numFmt numFmtId="166" formatCode="0;[Red]0"/>
  </numFmts>
  <fonts count="7">
    <font>
      <sz val="11"/>
      <color theme="1"/>
      <name val="Calibri"/>
      <charset val="134"/>
      <scheme val="minor"/>
    </font>
    <font>
      <b/>
      <u/>
      <sz val="11"/>
      <color rgb="FF002060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sz val="11"/>
      <color rgb="FF002060"/>
      <name val="Calibri"/>
      <charset val="134"/>
      <scheme val="minor"/>
    </font>
    <font>
      <sz val="9"/>
      <color indexed="56"/>
      <name val="Trebuchet MS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5" fillId="0" borderId="0">
      <alignment vertical="center"/>
    </xf>
    <xf numFmtId="0" fontId="5" fillId="0" borderId="0"/>
    <xf numFmtId="0" fontId="6" fillId="0" borderId="0"/>
    <xf numFmtId="9" fontId="6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wrapText="1"/>
    </xf>
    <xf numFmtId="164" fontId="4" fillId="0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16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5">
    <cellStyle name="Normal" xfId="0" builtinId="0"/>
    <cellStyle name="Normal 2" xfId="1"/>
    <cellStyle name="Normal 3" xfId="2"/>
    <cellStyle name="Normal 4" xfId="3"/>
    <cellStyle name="Percent 2" xfId="4"/>
  </cellStyles>
  <dxfs count="24"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uxilo.lightning.force.com/lightning/r/Account/001S3000004nTl2IAE/view" TargetMode="External"/><Relationship Id="rId2" Type="http://schemas.openxmlformats.org/officeDocument/2006/relationships/hyperlink" Target="https://auxilo.lightning.force.com/lightning/r/Account/001S3000004nYrFIAU/view" TargetMode="External"/><Relationship Id="rId1" Type="http://schemas.openxmlformats.org/officeDocument/2006/relationships/hyperlink" Target="https://auxilo.lightning.force.com/lightning/r/Account/001S3000004ndypIAA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7"/>
  <sheetViews>
    <sheetView tabSelected="1" topLeftCell="H1" workbookViewId="0">
      <selection activeCell="A2" sqref="A2:XFD2"/>
    </sheetView>
  </sheetViews>
  <sheetFormatPr defaultColWidth="9" defaultRowHeight="14.5"/>
  <cols>
    <col min="1" max="1" width="5.7265625" style="3" customWidth="1"/>
    <col min="2" max="2" width="24.54296875" style="3" customWidth="1"/>
    <col min="3" max="3" width="17.6328125" style="3" customWidth="1"/>
    <col min="4" max="4" width="14" style="3" customWidth="1"/>
    <col min="5" max="5" width="28.453125" style="3" customWidth="1"/>
    <col min="6" max="6" width="12.453125" style="3" customWidth="1"/>
    <col min="7" max="7" width="13.7265625" style="3" customWidth="1"/>
    <col min="8" max="8" width="18.54296875" style="3" customWidth="1"/>
    <col min="9" max="9" width="10.81640625" style="3" customWidth="1"/>
    <col min="10" max="10" width="33.1796875" style="3" customWidth="1"/>
    <col min="11" max="11" width="17" style="3" customWidth="1"/>
    <col min="12" max="12" width="26" style="3" customWidth="1"/>
    <col min="13" max="13" width="26.81640625" style="3" customWidth="1"/>
    <col min="14" max="14" width="14.1796875" style="3" customWidth="1"/>
    <col min="15" max="16384" width="9" style="3"/>
  </cols>
  <sheetData>
    <row r="1" spans="1:22">
      <c r="B1" s="4" t="s">
        <v>0</v>
      </c>
    </row>
    <row r="2" spans="1:22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22" s="1" customForma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6" t="s">
        <v>7</v>
      </c>
      <c r="G3" s="7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7" t="s">
        <v>14</v>
      </c>
      <c r="N3" s="5" t="s">
        <v>15</v>
      </c>
      <c r="O3" s="15"/>
      <c r="P3" s="15"/>
      <c r="Q3" s="15"/>
      <c r="R3" s="15"/>
      <c r="S3" s="15"/>
      <c r="T3" s="15"/>
      <c r="U3" s="15"/>
      <c r="V3" s="15"/>
    </row>
    <row r="4" spans="1:22" s="2" customFormat="1">
      <c r="A4" s="8">
        <v>1</v>
      </c>
      <c r="B4" s="9">
        <v>45383</v>
      </c>
      <c r="C4" s="10">
        <v>45382.456944444399</v>
      </c>
      <c r="D4" s="11">
        <v>100719067663</v>
      </c>
      <c r="E4" s="12" t="s">
        <v>16</v>
      </c>
      <c r="F4" s="13" t="s">
        <v>17</v>
      </c>
      <c r="G4" s="14">
        <v>1500000</v>
      </c>
      <c r="H4" s="9">
        <v>45383</v>
      </c>
      <c r="I4" s="13" t="s">
        <v>18</v>
      </c>
      <c r="J4" s="16"/>
      <c r="K4" s="13" t="s">
        <v>19</v>
      </c>
      <c r="L4" s="13" t="s">
        <v>20</v>
      </c>
      <c r="M4" s="13" t="s">
        <v>21</v>
      </c>
      <c r="N4" s="13" t="s">
        <v>22</v>
      </c>
    </row>
    <row r="5" spans="1:22" s="2" customFormat="1">
      <c r="A5" s="8">
        <v>2</v>
      </c>
      <c r="B5" s="9">
        <v>45383</v>
      </c>
      <c r="C5" s="10">
        <v>45382.558333333298</v>
      </c>
      <c r="D5" s="11">
        <v>100219067664</v>
      </c>
      <c r="E5" s="12" t="s">
        <v>23</v>
      </c>
      <c r="F5" s="13" t="s">
        <v>17</v>
      </c>
      <c r="G5" s="14">
        <v>4000000</v>
      </c>
      <c r="H5" s="9">
        <v>45383</v>
      </c>
      <c r="I5" s="13" t="s">
        <v>18</v>
      </c>
      <c r="J5" s="16"/>
      <c r="K5" s="13" t="s">
        <v>19</v>
      </c>
      <c r="L5" s="13" t="s">
        <v>20</v>
      </c>
      <c r="M5" s="13" t="s">
        <v>21</v>
      </c>
      <c r="N5" s="13" t="s">
        <v>22</v>
      </c>
    </row>
    <row r="6" spans="1:22" s="2" customFormat="1">
      <c r="A6" s="8">
        <v>3</v>
      </c>
      <c r="B6" s="9">
        <v>45383</v>
      </c>
      <c r="C6" s="10">
        <v>45382.559722222199</v>
      </c>
      <c r="D6" s="11">
        <v>100219067665</v>
      </c>
      <c r="E6" s="12" t="s">
        <v>24</v>
      </c>
      <c r="F6" s="13" t="s">
        <v>17</v>
      </c>
      <c r="G6" s="14">
        <v>4000000</v>
      </c>
      <c r="H6" s="9">
        <v>45383</v>
      </c>
      <c r="I6" s="13" t="s">
        <v>18</v>
      </c>
      <c r="J6" s="16"/>
      <c r="K6" s="13" t="s">
        <v>19</v>
      </c>
      <c r="L6" s="13" t="s">
        <v>20</v>
      </c>
      <c r="M6" s="13" t="s">
        <v>21</v>
      </c>
      <c r="N6" s="13" t="s">
        <v>22</v>
      </c>
    </row>
    <row r="7" spans="1:22" s="2" customFormat="1">
      <c r="A7" s="8">
        <v>4</v>
      </c>
      <c r="B7" s="9">
        <v>45383</v>
      </c>
      <c r="C7" s="10">
        <v>45382.629166666702</v>
      </c>
      <c r="D7" s="11">
        <v>100519067666</v>
      </c>
      <c r="E7" s="12" t="s">
        <v>25</v>
      </c>
      <c r="F7" s="13" t="s">
        <v>17</v>
      </c>
      <c r="G7" s="14">
        <v>4000000</v>
      </c>
      <c r="H7" s="9">
        <v>45383</v>
      </c>
      <c r="I7" s="13" t="s">
        <v>18</v>
      </c>
      <c r="J7" s="16"/>
      <c r="K7" s="13" t="s">
        <v>19</v>
      </c>
      <c r="L7" s="13" t="s">
        <v>20</v>
      </c>
      <c r="M7" s="13" t="s">
        <v>21</v>
      </c>
      <c r="N7" s="13" t="s">
        <v>22</v>
      </c>
    </row>
    <row r="8" spans="1:22" s="2" customFormat="1">
      <c r="A8" s="8">
        <v>5</v>
      </c>
      <c r="B8" s="9">
        <v>45383</v>
      </c>
      <c r="C8" s="10">
        <v>45382.642361111102</v>
      </c>
      <c r="D8" s="11">
        <v>100519067667</v>
      </c>
      <c r="E8" s="12" t="s">
        <v>26</v>
      </c>
      <c r="F8" s="13" t="s">
        <v>17</v>
      </c>
      <c r="G8" s="14">
        <v>3500000</v>
      </c>
      <c r="H8" s="9">
        <v>45383</v>
      </c>
      <c r="I8" s="13" t="s">
        <v>18</v>
      </c>
      <c r="J8" s="16"/>
      <c r="K8" s="13" t="s">
        <v>27</v>
      </c>
      <c r="L8" s="13" t="s">
        <v>28</v>
      </c>
      <c r="M8" s="13" t="s">
        <v>29</v>
      </c>
      <c r="N8" s="13" t="s">
        <v>30</v>
      </c>
    </row>
    <row r="9" spans="1:22" s="2" customFormat="1">
      <c r="A9" s="8">
        <v>6</v>
      </c>
      <c r="B9" s="9">
        <v>45383</v>
      </c>
      <c r="C9" s="10">
        <v>45382.646527777797</v>
      </c>
      <c r="D9" s="11">
        <v>100519067668</v>
      </c>
      <c r="E9" s="12" t="s">
        <v>31</v>
      </c>
      <c r="F9" s="13" t="s">
        <v>17</v>
      </c>
      <c r="G9" s="14">
        <v>6000000</v>
      </c>
      <c r="H9" s="9">
        <v>45383</v>
      </c>
      <c r="I9" s="13" t="s">
        <v>18</v>
      </c>
      <c r="J9" s="16" t="s">
        <v>32</v>
      </c>
      <c r="K9" s="13" t="s">
        <v>19</v>
      </c>
      <c r="L9" s="13" t="s">
        <v>20</v>
      </c>
      <c r="M9" s="13" t="s">
        <v>21</v>
      </c>
      <c r="N9" s="13" t="s">
        <v>22</v>
      </c>
    </row>
    <row r="10" spans="1:22" s="2" customFormat="1">
      <c r="A10" s="8">
        <v>7</v>
      </c>
      <c r="B10" s="9">
        <v>45383</v>
      </c>
      <c r="C10" s="10">
        <v>45382.661805555603</v>
      </c>
      <c r="D10" s="11">
        <v>100519067669</v>
      </c>
      <c r="E10" s="12" t="s">
        <v>33</v>
      </c>
      <c r="F10" s="13" t="s">
        <v>17</v>
      </c>
      <c r="G10" s="14">
        <v>3000000</v>
      </c>
      <c r="H10" s="9">
        <v>45383</v>
      </c>
      <c r="I10" s="13" t="s">
        <v>18</v>
      </c>
      <c r="J10" s="16"/>
      <c r="K10" s="13" t="s">
        <v>27</v>
      </c>
      <c r="L10" s="13" t="s">
        <v>28</v>
      </c>
      <c r="M10" s="13" t="s">
        <v>29</v>
      </c>
      <c r="N10" s="13" t="s">
        <v>30</v>
      </c>
    </row>
    <row r="11" spans="1:22" s="2" customFormat="1">
      <c r="A11" s="8">
        <v>8</v>
      </c>
      <c r="B11" s="9">
        <v>45383</v>
      </c>
      <c r="C11" s="10">
        <v>45383.459027777797</v>
      </c>
      <c r="D11" s="11">
        <v>100119067670</v>
      </c>
      <c r="E11" s="12" t="s">
        <v>34</v>
      </c>
      <c r="F11" s="13" t="s">
        <v>17</v>
      </c>
      <c r="G11" s="14">
        <v>5000000</v>
      </c>
      <c r="H11" s="9">
        <v>45383</v>
      </c>
      <c r="I11" s="13" t="s">
        <v>18</v>
      </c>
      <c r="J11" s="16" t="s">
        <v>35</v>
      </c>
      <c r="K11" s="13" t="s">
        <v>36</v>
      </c>
      <c r="L11" s="13" t="s">
        <v>37</v>
      </c>
      <c r="M11" s="13" t="s">
        <v>27</v>
      </c>
      <c r="N11" s="13" t="s">
        <v>28</v>
      </c>
    </row>
    <row r="12" spans="1:22" s="2" customFormat="1">
      <c r="A12" s="8">
        <v>9</v>
      </c>
      <c r="B12" s="9">
        <v>45383</v>
      </c>
      <c r="C12" s="10">
        <v>45383.464583333298</v>
      </c>
      <c r="D12" s="11">
        <v>100619067671</v>
      </c>
      <c r="E12" s="12" t="s">
        <v>38</v>
      </c>
      <c r="F12" s="13" t="s">
        <v>17</v>
      </c>
      <c r="G12" s="14">
        <v>6000000</v>
      </c>
      <c r="H12" s="9">
        <v>45383</v>
      </c>
      <c r="I12" s="13" t="s">
        <v>18</v>
      </c>
      <c r="J12" s="16" t="s">
        <v>39</v>
      </c>
      <c r="K12" s="13" t="s">
        <v>40</v>
      </c>
      <c r="L12" s="13" t="s">
        <v>41</v>
      </c>
      <c r="M12" s="13" t="s">
        <v>42</v>
      </c>
      <c r="N12" s="13" t="s">
        <v>43</v>
      </c>
    </row>
    <row r="13" spans="1:22" s="2" customFormat="1">
      <c r="A13" s="8">
        <v>10</v>
      </c>
      <c r="B13" s="9">
        <v>45384</v>
      </c>
      <c r="C13" s="10">
        <v>45384.645833333299</v>
      </c>
      <c r="D13" s="11">
        <v>100929067805</v>
      </c>
      <c r="E13" s="12" t="s">
        <v>44</v>
      </c>
      <c r="F13" s="13" t="s">
        <v>17</v>
      </c>
      <c r="G13" s="14">
        <v>3700000</v>
      </c>
      <c r="H13" s="9">
        <v>45384</v>
      </c>
      <c r="I13" s="13" t="s">
        <v>18</v>
      </c>
      <c r="J13" s="16"/>
      <c r="K13" s="13" t="s">
        <v>45</v>
      </c>
      <c r="L13" s="13" t="s">
        <v>46</v>
      </c>
      <c r="M13" s="13" t="s">
        <v>29</v>
      </c>
      <c r="N13" s="13" t="s">
        <v>30</v>
      </c>
    </row>
    <row r="14" spans="1:22" s="2" customFormat="1">
      <c r="A14" s="8">
        <v>11</v>
      </c>
      <c r="B14" s="9">
        <v>45384</v>
      </c>
      <c r="C14" s="10">
        <v>45384.6472222222</v>
      </c>
      <c r="D14" s="11">
        <v>100319067806</v>
      </c>
      <c r="E14" s="12" t="s">
        <v>47</v>
      </c>
      <c r="F14" s="13" t="s">
        <v>17</v>
      </c>
      <c r="G14" s="14">
        <v>3900000</v>
      </c>
      <c r="H14" s="9">
        <v>45384</v>
      </c>
      <c r="I14" s="13" t="s">
        <v>18</v>
      </c>
      <c r="J14" s="16"/>
      <c r="K14" s="13" t="s">
        <v>48</v>
      </c>
      <c r="L14" s="13" t="s">
        <v>49</v>
      </c>
      <c r="M14" s="13" t="s">
        <v>40</v>
      </c>
      <c r="N14" s="13" t="s">
        <v>41</v>
      </c>
    </row>
    <row r="15" spans="1:22" s="2" customFormat="1">
      <c r="A15" s="8">
        <v>12</v>
      </c>
      <c r="B15" s="9">
        <v>45384</v>
      </c>
      <c r="C15" s="10">
        <v>45384.651388888902</v>
      </c>
      <c r="D15" s="11">
        <v>100719067808</v>
      </c>
      <c r="E15" s="12" t="s">
        <v>50</v>
      </c>
      <c r="F15" s="13" t="s">
        <v>17</v>
      </c>
      <c r="G15" s="14">
        <v>2600000</v>
      </c>
      <c r="H15" s="9">
        <v>45384</v>
      </c>
      <c r="I15" s="13" t="s">
        <v>18</v>
      </c>
      <c r="J15" s="16" t="s">
        <v>51</v>
      </c>
      <c r="K15" s="13" t="s">
        <v>29</v>
      </c>
      <c r="L15" s="13" t="s">
        <v>30</v>
      </c>
      <c r="M15" s="13" t="s">
        <v>45</v>
      </c>
      <c r="N15" s="13" t="s">
        <v>46</v>
      </c>
    </row>
    <row r="16" spans="1:22" s="2" customFormat="1">
      <c r="A16" s="8">
        <v>13</v>
      </c>
      <c r="B16" s="9">
        <v>45384</v>
      </c>
      <c r="C16" s="10">
        <v>45384.662499999999</v>
      </c>
      <c r="D16" s="11">
        <v>100219067809</v>
      </c>
      <c r="E16" s="12" t="s">
        <v>52</v>
      </c>
      <c r="F16" s="13" t="s">
        <v>17</v>
      </c>
      <c r="G16" s="14">
        <v>1000000</v>
      </c>
      <c r="H16" s="9">
        <v>45384</v>
      </c>
      <c r="I16" s="13" t="s">
        <v>18</v>
      </c>
      <c r="J16" s="16"/>
      <c r="K16" s="13" t="s">
        <v>36</v>
      </c>
      <c r="L16" s="13" t="s">
        <v>37</v>
      </c>
      <c r="M16" s="13" t="s">
        <v>42</v>
      </c>
      <c r="N16" s="13" t="s">
        <v>43</v>
      </c>
    </row>
    <row r="17" spans="1:14" s="2" customFormat="1">
      <c r="A17" s="8">
        <v>14</v>
      </c>
      <c r="B17" s="9">
        <v>45384</v>
      </c>
      <c r="C17" s="10">
        <v>45384.668749999997</v>
      </c>
      <c r="D17" s="11">
        <v>100219067811</v>
      </c>
      <c r="E17" s="12" t="s">
        <v>53</v>
      </c>
      <c r="F17" s="13" t="s">
        <v>17</v>
      </c>
      <c r="G17" s="14">
        <v>4000000</v>
      </c>
      <c r="H17" s="9">
        <v>45384</v>
      </c>
      <c r="I17" s="13" t="s">
        <v>18</v>
      </c>
      <c r="J17" s="16"/>
      <c r="K17" s="13" t="s">
        <v>54</v>
      </c>
      <c r="L17" s="13" t="s">
        <v>55</v>
      </c>
      <c r="M17" s="13" t="s">
        <v>36</v>
      </c>
      <c r="N17" s="13" t="s">
        <v>37</v>
      </c>
    </row>
    <row r="18" spans="1:14" s="2" customFormat="1">
      <c r="A18" s="8">
        <v>15</v>
      </c>
      <c r="B18" s="9">
        <v>45384</v>
      </c>
      <c r="C18" s="10">
        <v>45384.672916666699</v>
      </c>
      <c r="D18" s="11">
        <v>100119067812</v>
      </c>
      <c r="E18" s="12" t="s">
        <v>56</v>
      </c>
      <c r="F18" s="13" t="s">
        <v>17</v>
      </c>
      <c r="G18" s="14">
        <v>9000000</v>
      </c>
      <c r="H18" s="9">
        <v>45384</v>
      </c>
      <c r="I18" s="13" t="s">
        <v>18</v>
      </c>
      <c r="J18" s="16"/>
      <c r="K18" s="13" t="s">
        <v>57</v>
      </c>
      <c r="L18" s="13" t="s">
        <v>58</v>
      </c>
      <c r="M18" s="13" t="s">
        <v>59</v>
      </c>
      <c r="N18" s="13" t="s">
        <v>60</v>
      </c>
    </row>
    <row r="19" spans="1:14" s="2" customFormat="1">
      <c r="A19" s="8">
        <v>16</v>
      </c>
      <c r="B19" s="9">
        <v>45384</v>
      </c>
      <c r="C19" s="10">
        <v>45384.677083333299</v>
      </c>
      <c r="D19" s="11">
        <v>100419067815</v>
      </c>
      <c r="E19" s="12" t="s">
        <v>61</v>
      </c>
      <c r="F19" s="13" t="s">
        <v>17</v>
      </c>
      <c r="G19" s="14">
        <v>2500000</v>
      </c>
      <c r="H19" s="9">
        <v>45384</v>
      </c>
      <c r="I19" s="13" t="s">
        <v>18</v>
      </c>
      <c r="J19" s="16"/>
      <c r="K19" s="13" t="s">
        <v>62</v>
      </c>
      <c r="L19" s="13" t="s">
        <v>63</v>
      </c>
      <c r="M19" s="13" t="s">
        <v>27</v>
      </c>
      <c r="N19" s="13" t="s">
        <v>28</v>
      </c>
    </row>
    <row r="20" spans="1:14" s="2" customFormat="1">
      <c r="A20" s="8">
        <v>17</v>
      </c>
      <c r="B20" s="9">
        <v>45384</v>
      </c>
      <c r="C20" s="10">
        <v>45384.680555555598</v>
      </c>
      <c r="D20" s="11">
        <v>100119067816</v>
      </c>
      <c r="E20" s="12" t="s">
        <v>64</v>
      </c>
      <c r="F20" s="13" t="s">
        <v>17</v>
      </c>
      <c r="G20" s="14">
        <v>2500000</v>
      </c>
      <c r="H20" s="9">
        <v>45384</v>
      </c>
      <c r="I20" s="13" t="s">
        <v>18</v>
      </c>
      <c r="J20" s="16"/>
      <c r="K20" s="13" t="s">
        <v>65</v>
      </c>
      <c r="L20" s="13" t="s">
        <v>66</v>
      </c>
      <c r="M20" s="13" t="s">
        <v>67</v>
      </c>
      <c r="N20" s="13" t="s">
        <v>68</v>
      </c>
    </row>
    <row r="21" spans="1:14" s="2" customFormat="1">
      <c r="A21" s="8">
        <v>18</v>
      </c>
      <c r="B21" s="9">
        <v>45384</v>
      </c>
      <c r="C21" s="10">
        <v>45384.684027777803</v>
      </c>
      <c r="D21" s="11">
        <v>100319067819</v>
      </c>
      <c r="E21" s="12" t="s">
        <v>69</v>
      </c>
      <c r="F21" s="13" t="s">
        <v>17</v>
      </c>
      <c r="G21" s="14">
        <v>3500000</v>
      </c>
      <c r="H21" s="9">
        <v>45384</v>
      </c>
      <c r="I21" s="13" t="s">
        <v>18</v>
      </c>
      <c r="J21" s="16"/>
      <c r="K21" s="13" t="s">
        <v>54</v>
      </c>
      <c r="L21" s="13" t="s">
        <v>55</v>
      </c>
      <c r="M21" s="13" t="s">
        <v>36</v>
      </c>
      <c r="N21" s="13" t="s">
        <v>37</v>
      </c>
    </row>
    <row r="22" spans="1:14" s="2" customFormat="1">
      <c r="A22" s="8">
        <v>19</v>
      </c>
      <c r="B22" s="9">
        <v>45384</v>
      </c>
      <c r="C22" s="10">
        <v>45384.686111111099</v>
      </c>
      <c r="D22" s="11">
        <v>100619067820</v>
      </c>
      <c r="E22" s="12" t="s">
        <v>70</v>
      </c>
      <c r="F22" s="13" t="s">
        <v>17</v>
      </c>
      <c r="G22" s="14">
        <v>3000000</v>
      </c>
      <c r="H22" s="9">
        <v>45384</v>
      </c>
      <c r="I22" s="13" t="s">
        <v>18</v>
      </c>
      <c r="J22" s="16"/>
      <c r="K22" s="13" t="s">
        <v>71</v>
      </c>
      <c r="L22" s="13" t="s">
        <v>72</v>
      </c>
      <c r="M22" s="13" t="s">
        <v>65</v>
      </c>
      <c r="N22" s="13" t="s">
        <v>66</v>
      </c>
    </row>
    <row r="23" spans="1:14" s="2" customFormat="1">
      <c r="A23" s="8">
        <v>20</v>
      </c>
      <c r="B23" s="9">
        <v>45384</v>
      </c>
      <c r="C23" s="10">
        <v>45384.690972222197</v>
      </c>
      <c r="D23" s="11">
        <v>100419067823</v>
      </c>
      <c r="E23" s="12" t="s">
        <v>73</v>
      </c>
      <c r="F23" s="13" t="s">
        <v>17</v>
      </c>
      <c r="G23" s="14">
        <v>5600000</v>
      </c>
      <c r="H23" s="9">
        <v>45384</v>
      </c>
      <c r="I23" s="13" t="s">
        <v>18</v>
      </c>
      <c r="J23" s="16"/>
      <c r="K23" s="13" t="s">
        <v>29</v>
      </c>
      <c r="L23" s="13" t="s">
        <v>30</v>
      </c>
      <c r="M23" s="13" t="s">
        <v>45</v>
      </c>
      <c r="N23" s="13" t="s">
        <v>46</v>
      </c>
    </row>
    <row r="24" spans="1:14" s="2" customFormat="1">
      <c r="A24" s="8">
        <v>21</v>
      </c>
      <c r="B24" s="9">
        <v>45384</v>
      </c>
      <c r="C24" s="10">
        <v>45384.692361111098</v>
      </c>
      <c r="D24" s="11">
        <v>100419067824</v>
      </c>
      <c r="E24" s="12" t="s">
        <v>74</v>
      </c>
      <c r="F24" s="13" t="s">
        <v>17</v>
      </c>
      <c r="G24" s="14">
        <v>6500000</v>
      </c>
      <c r="H24" s="9">
        <v>45384</v>
      </c>
      <c r="I24" s="13" t="s">
        <v>18</v>
      </c>
      <c r="J24" s="16"/>
      <c r="K24" s="13" t="s">
        <v>54</v>
      </c>
      <c r="L24" s="13" t="s">
        <v>55</v>
      </c>
      <c r="M24" s="13" t="s">
        <v>36</v>
      </c>
      <c r="N24" s="13" t="s">
        <v>37</v>
      </c>
    </row>
    <row r="25" spans="1:14" s="2" customFormat="1">
      <c r="A25" s="8">
        <v>22</v>
      </c>
      <c r="B25" s="9">
        <v>45384</v>
      </c>
      <c r="C25" s="10">
        <v>45384.698611111096</v>
      </c>
      <c r="D25" s="11">
        <v>100419067825</v>
      </c>
      <c r="E25" s="12" t="s">
        <v>75</v>
      </c>
      <c r="F25" s="13" t="s">
        <v>17</v>
      </c>
      <c r="G25" s="14">
        <v>3000000</v>
      </c>
      <c r="H25" s="9">
        <v>45384</v>
      </c>
      <c r="I25" s="13" t="s">
        <v>18</v>
      </c>
      <c r="J25" s="16"/>
      <c r="K25" s="13" t="s">
        <v>36</v>
      </c>
      <c r="L25" s="13" t="s">
        <v>37</v>
      </c>
      <c r="M25" s="13" t="s">
        <v>42</v>
      </c>
      <c r="N25" s="13" t="s">
        <v>43</v>
      </c>
    </row>
    <row r="26" spans="1:14" s="2" customFormat="1">
      <c r="A26" s="8">
        <v>23</v>
      </c>
      <c r="B26" s="9">
        <v>45384</v>
      </c>
      <c r="C26" s="10">
        <v>45384.703472222202</v>
      </c>
      <c r="D26" s="11">
        <v>100519067827</v>
      </c>
      <c r="E26" s="12" t="s">
        <v>76</v>
      </c>
      <c r="F26" s="13" t="s">
        <v>17</v>
      </c>
      <c r="G26" s="14">
        <v>3000000</v>
      </c>
      <c r="H26" s="9">
        <v>45384</v>
      </c>
      <c r="I26" s="13" t="s">
        <v>18</v>
      </c>
      <c r="J26" s="16"/>
      <c r="K26" s="13" t="s">
        <v>65</v>
      </c>
      <c r="L26" s="13" t="s">
        <v>66</v>
      </c>
      <c r="M26" s="13" t="s">
        <v>67</v>
      </c>
      <c r="N26" s="13" t="s">
        <v>68</v>
      </c>
    </row>
    <row r="27" spans="1:14" s="2" customFormat="1">
      <c r="A27" s="8">
        <v>24</v>
      </c>
      <c r="B27" s="9">
        <v>45384</v>
      </c>
      <c r="C27" s="10">
        <v>45384.703472222202</v>
      </c>
      <c r="D27" s="11">
        <v>100819067828</v>
      </c>
      <c r="E27" s="12" t="s">
        <v>77</v>
      </c>
      <c r="F27" s="13" t="s">
        <v>17</v>
      </c>
      <c r="G27" s="14">
        <v>4500000</v>
      </c>
      <c r="H27" s="9">
        <v>45384</v>
      </c>
      <c r="I27" s="13" t="s">
        <v>18</v>
      </c>
      <c r="J27" s="16"/>
      <c r="K27" s="13" t="s">
        <v>40</v>
      </c>
      <c r="L27" s="13" t="s">
        <v>41</v>
      </c>
      <c r="M27" s="13" t="s">
        <v>48</v>
      </c>
      <c r="N27" s="13" t="s">
        <v>49</v>
      </c>
    </row>
  </sheetData>
  <mergeCells count="1">
    <mergeCell ref="A2:N2"/>
  </mergeCells>
  <conditionalFormatting sqref="D4">
    <cfRule type="expression" dxfId="23" priority="24" stopIfTrue="1">
      <formula>AND(COUNTIF($G:$G,D4)&gt;1,NOT(ISBLANK(D4)))</formula>
    </cfRule>
  </conditionalFormatting>
  <conditionalFormatting sqref="D5">
    <cfRule type="expression" dxfId="22" priority="23" stopIfTrue="1">
      <formula>AND(COUNTIF($G:$G,D5)&gt;1,NOT(ISBLANK(D5)))</formula>
    </cfRule>
  </conditionalFormatting>
  <conditionalFormatting sqref="D6">
    <cfRule type="expression" dxfId="21" priority="22" stopIfTrue="1">
      <formula>AND(COUNTIF($G:$G,D6)&gt;1,NOT(ISBLANK(D6)))</formula>
    </cfRule>
  </conditionalFormatting>
  <conditionalFormatting sqref="D7">
    <cfRule type="expression" dxfId="20" priority="21" stopIfTrue="1">
      <formula>AND(COUNTIF($G:$G,D7)&gt;1,NOT(ISBLANK(D7)))</formula>
    </cfRule>
  </conditionalFormatting>
  <conditionalFormatting sqref="D8">
    <cfRule type="expression" dxfId="19" priority="20" stopIfTrue="1">
      <formula>AND(COUNTIF($G:$G,D8)&gt;1,NOT(ISBLANK(D8)))</formula>
    </cfRule>
  </conditionalFormatting>
  <conditionalFormatting sqref="D9">
    <cfRule type="expression" dxfId="18" priority="19" stopIfTrue="1">
      <formula>AND(COUNTIF($G:$G,D9)&gt;1,NOT(ISBLANK(D9)))</formula>
    </cfRule>
  </conditionalFormatting>
  <conditionalFormatting sqref="D10">
    <cfRule type="expression" dxfId="17" priority="18" stopIfTrue="1">
      <formula>AND(COUNTIF($G:$G,D10)&gt;1,NOT(ISBLANK(D10)))</formula>
    </cfRule>
  </conditionalFormatting>
  <conditionalFormatting sqref="D11">
    <cfRule type="expression" dxfId="16" priority="17" stopIfTrue="1">
      <formula>AND(COUNTIF($G:$G,D11)&gt;1,NOT(ISBLANK(D11)))</formula>
    </cfRule>
  </conditionalFormatting>
  <conditionalFormatting sqref="D12">
    <cfRule type="expression" dxfId="15" priority="16" stopIfTrue="1">
      <formula>AND(COUNTIF($G:$G,D12)&gt;1,NOT(ISBLANK(D12)))</formula>
    </cfRule>
  </conditionalFormatting>
  <conditionalFormatting sqref="D13">
    <cfRule type="expression" dxfId="14" priority="15" stopIfTrue="1">
      <formula>AND(COUNTIF($G:$G,D13)&gt;1,NOT(ISBLANK(D13)))</formula>
    </cfRule>
  </conditionalFormatting>
  <conditionalFormatting sqref="D14">
    <cfRule type="expression" dxfId="13" priority="14" stopIfTrue="1">
      <formula>AND(COUNTIF($G:$G,D14)&gt;1,NOT(ISBLANK(D14)))</formula>
    </cfRule>
  </conditionalFormatting>
  <conditionalFormatting sqref="D15">
    <cfRule type="expression" dxfId="12" priority="13" stopIfTrue="1">
      <formula>AND(COUNTIF($G:$G,D15)&gt;1,NOT(ISBLANK(D15)))</formula>
    </cfRule>
  </conditionalFormatting>
  <conditionalFormatting sqref="D16">
    <cfRule type="expression" dxfId="11" priority="12" stopIfTrue="1">
      <formula>AND(COUNTIF($G:$G,D16)&gt;1,NOT(ISBLANK(D16)))</formula>
    </cfRule>
  </conditionalFormatting>
  <conditionalFormatting sqref="D17">
    <cfRule type="expression" dxfId="10" priority="11" stopIfTrue="1">
      <formula>AND(COUNTIF($G:$G,D17)&gt;1,NOT(ISBLANK(D17)))</formula>
    </cfRule>
  </conditionalFormatting>
  <conditionalFormatting sqref="D18">
    <cfRule type="expression" dxfId="9" priority="10" stopIfTrue="1">
      <formula>AND(COUNTIF($G:$G,D18)&gt;1,NOT(ISBLANK(D18)))</formula>
    </cfRule>
  </conditionalFormatting>
  <conditionalFormatting sqref="D19">
    <cfRule type="expression" dxfId="8" priority="9" stopIfTrue="1">
      <formula>AND(COUNTIF($G:$G,D19)&gt;1,NOT(ISBLANK(D19)))</formula>
    </cfRule>
  </conditionalFormatting>
  <conditionalFormatting sqref="D20">
    <cfRule type="expression" dxfId="7" priority="8" stopIfTrue="1">
      <formula>AND(COUNTIF($G:$G,D20)&gt;1,NOT(ISBLANK(D20)))</formula>
    </cfRule>
  </conditionalFormatting>
  <conditionalFormatting sqref="D21">
    <cfRule type="expression" dxfId="6" priority="7" stopIfTrue="1">
      <formula>AND(COUNTIF($G:$G,D21)&gt;1,NOT(ISBLANK(D21)))</formula>
    </cfRule>
  </conditionalFormatting>
  <conditionalFormatting sqref="D22">
    <cfRule type="expression" dxfId="5" priority="6" stopIfTrue="1">
      <formula>AND(COUNTIF($G:$G,D22)&gt;1,NOT(ISBLANK(D22)))</formula>
    </cfRule>
  </conditionalFormatting>
  <conditionalFormatting sqref="D23">
    <cfRule type="expression" dxfId="4" priority="5" stopIfTrue="1">
      <formula>AND(COUNTIF($G:$G,D23)&gt;1,NOT(ISBLANK(D23)))</formula>
    </cfRule>
  </conditionalFormatting>
  <conditionalFormatting sqref="D24">
    <cfRule type="expression" dxfId="3" priority="4" stopIfTrue="1">
      <formula>AND(COUNTIF($G:$G,D24)&gt;1,NOT(ISBLANK(D24)))</formula>
    </cfRule>
  </conditionalFormatting>
  <conditionalFormatting sqref="D25">
    <cfRule type="expression" dxfId="2" priority="3" stopIfTrue="1">
      <formula>AND(COUNTIF($G:$G,D25)&gt;1,NOT(ISBLANK(D25)))</formula>
    </cfRule>
  </conditionalFormatting>
  <conditionalFormatting sqref="D26">
    <cfRule type="expression" dxfId="1" priority="2" stopIfTrue="1">
      <formula>AND(COUNTIF($G:$G,D26)&gt;1,NOT(ISBLANK(D26)))</formula>
    </cfRule>
  </conditionalFormatting>
  <conditionalFormatting sqref="D27">
    <cfRule type="expression" dxfId="0" priority="1" stopIfTrue="1">
      <formula>AND(COUNTIF($G:$G,D27)&gt;1,NOT(ISBLANK(D27)))</formula>
    </cfRule>
  </conditionalFormatting>
  <hyperlinks>
    <hyperlink ref="E18" r:id="rId1" tooltip="https://auxilo.lightning.force.com/lightning/r/Account/001S3000004ndypIAA/view"/>
    <hyperlink ref="E22" r:id="rId2" tooltip="https://auxilo.lightning.force.com/lightning/r/Account/001S3000004nYrFIAU/view"/>
    <hyperlink ref="E23" r:id="rId3" tooltip="https://auxilo.lightning.force.com/lightning/r/Account/001S3000004nTl2IAE/view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2024-04-04T12:43:00Z</dcterms:created>
  <dcterms:modified xsi:type="dcterms:W3CDTF">2024-05-02T06:36:05Z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A931B79C99C54564A10A92CF8D6E3A70_13</vt:lpwstr>
  </property>
  <property fmtid="{D5CDD505-2E9C-101B-9397-08002B2CF9AE}" pid="3" name="KSOProductBuildVer">
    <vt:lpwstr>1033-12.2.0.13190</vt:lpwstr>
  </property>
</Properties>
</file>